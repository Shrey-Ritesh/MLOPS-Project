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addha PS\Downloads\"/>
    </mc:Choice>
  </mc:AlternateContent>
  <xr:revisionPtr revIDLastSave="0" documentId="13_ncr:1_{881F911B-E733-4565-B779-07E64C9BA66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oadmap" sheetId="1" r:id="rId1"/>
    <sheet name="Timeline" sheetId="2" r:id="rId2"/>
    <sheet name="Phase Summary" sheetId="3" r:id="rId3"/>
  </sheets>
  <definedNames>
    <definedName name="_xlnm._FilterDatabase" localSheetId="1" hidden="1">Timeline!$A$1:$F$32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3" l="1"/>
  <c r="E3" i="3"/>
  <c r="E2" i="3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3" i="3" s="1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2" i="3" s="1"/>
  <c r="E5" i="3" l="1"/>
  <c r="F4" i="3"/>
  <c r="F5" i="3" s="1"/>
</calcChain>
</file>

<file path=xl/sharedStrings.xml><?xml version="1.0" encoding="utf-8"?>
<sst xmlns="http://schemas.openxmlformats.org/spreadsheetml/2006/main" count="128" uniqueCount="71">
  <si>
    <t>MLOps Project Timeline — AI-Based Accessibility Assistant (JEE Tutor)</t>
  </si>
  <si>
    <t>Theme 28  |  SDG 4 &amp; 10  |  AI252TA — Machine Learning Operations  |  Semester V</t>
  </si>
  <si>
    <t>Duration: 10 weeks  |  Start: 21/09/2026 (Monday)  |  End: 29/11/2026 (Sunday)</t>
  </si>
  <si>
    <t>Phase 1 — Development &amp; Reproducibility (Weeks 1-4: 21/09 - 18/10)</t>
  </si>
  <si>
    <t>Weeks 1-2 are corpus work: acquire and document NCERT/PYQ sources, clean and language-tag, and get Git + DVC standing before any data is touched so versioning isn't retrofitted. Week 3 is the experimentation setup — chunking strategies, the synthetic query set that becomes your evaluation ground truth, MLflow conventions. Week 4 is the core ML comparison across multilingual embedding models, the optional intent classifier, and the first working RAG harness.</t>
  </si>
  <si>
    <t>Phase 2 — Productionization &amp; Deployment (Weeks 5-7: 19/10 - 08/11)</t>
  </si>
  <si>
    <t>Registry and FastAPI service come first so there's something to test against. Testing and risk checks run in parallel with Dockerization through Week 6. Week 7 is CI/CD and getting a live endpoint with a smoke test — deploy by 08/11 so Phase 3 has a real service to observe.</t>
  </si>
  <si>
    <t>Phase 3 — Monitoring, Feedback &amp; Governance (Weeks 8-10: 09/11 - 29/11)</t>
  </si>
  <si>
    <t>Logging and Evidently first, dashboard next, then the deliberate drift experiment in Week 9 with enough runway to complete the detect → retrain → compare → redeploy loop by Week 10. The model card runs alongside from Week 9 since its content comes out of Phase 2's risk checks and Phase 3's per-language metrics.</t>
  </si>
  <si>
    <t>Critical path</t>
  </si>
  <si>
    <t>dataset → chunks → embedding experiments → registered model → deployed API → drift experiment. Anything that slips before 18/10 compresses the drift demo, which is your highest-visibility deliverable.</t>
  </si>
  <si>
    <t>Notes</t>
  </si>
  <si>
    <t>Two things worth deciding now: the schedule has no built-in slack, so if you want an 8-week version cut the intent classifier and one of the two vector stores rather than shortening Phase 3. And build the baseline traffic window (14/11 - 18/11) with clean data before injecting drift — Evidently needs an uncontaminated reference distribution or the detection story won't be convincing to the evaluators.</t>
  </si>
  <si>
    <t>Task</t>
  </si>
  <si>
    <t>Phase</t>
  </si>
  <si>
    <t>Start Date</t>
  </si>
  <si>
    <t>End Date</t>
  </si>
  <si>
    <t>Duration (days)</t>
  </si>
  <si>
    <t>Week</t>
  </si>
  <si>
    <t>Dataset acquisition, provenance &amp; ethics/approval note</t>
  </si>
  <si>
    <t>Phase 1 — Development &amp; Reproducibility</t>
  </si>
  <si>
    <t>Git repo scaffold, project structure, README, DVC init</t>
  </si>
  <si>
    <t>Data cleaning, language tagging &amp; exploratory analysis</t>
  </si>
  <si>
    <t>Chunking strategy experiments + metadata enrichment (LaTeX/MathML)</t>
  </si>
  <si>
    <t>Synthetic evaluation query set (query → gold chunk pairs)</t>
  </si>
  <si>
    <t>DVC tracking of raw corpus, processed chunks and indexes</t>
  </si>
  <si>
    <t>MLflow setup + experiment logging conventions</t>
  </si>
  <si>
    <t>Baseline multilingual embedding experiments (BGE-M3, E5, Qwen3, Granite)</t>
  </si>
  <si>
    <t>Vector store setup + retrieval evaluation (Recall@k, MRR, nDCG, latency)</t>
  </si>
  <si>
    <t>Intent / complexity classifier training (optional artifact)</t>
  </si>
  <si>
    <t>End-to-end RAG tutor harness (retrieve → mother-tongue generation)</t>
  </si>
  <si>
    <t>Phase-1 evaluation report + baseline model selection sign-off</t>
  </si>
  <si>
    <t>Register embedding model (+ classifier) in MLflow Model Registry</t>
  </si>
  <si>
    <t>Phase 2 — Productionization &amp; Deployment</t>
  </si>
  <si>
    <t>FastAPI inference service (query + language → context, response, metadata)</t>
  </si>
  <si>
    <t>PyTest unit tests (embedding, ranking, language handling, classifier)</t>
  </si>
  <si>
    <t>Model-risk &amp; quality checks (cross-language bias, robustness, security)</t>
  </si>
  <si>
    <t>PyTest integration tests + edge cases (empty, code-mixed, OOD, long query)</t>
  </si>
  <si>
    <t>Multi-stage Dockerfile + image build and size optimization</t>
  </si>
  <si>
    <t>GitHub Actions CI (lint → PyTest → build → push to registry)</t>
  </si>
  <si>
    <t>Deployment to reachable endpoint + CD step + live smoke test</t>
  </si>
  <si>
    <t>Structured JSON request logging (query, lang, intent, scores, latency, version)</t>
  </si>
  <si>
    <t>Phase 3 — Monitoring, Feedback &amp; Governance</t>
  </si>
  <si>
    <t>Evidently drift monitoring config + alert thresholds</t>
  </si>
  <si>
    <t>Observability dashboard (Grafana / Streamlit / Power BI)</t>
  </si>
  <si>
    <t>Simulated production traffic generator + baseline reference window</t>
  </si>
  <si>
    <t>Deliberate drift injection experiment (noise / model swap / topic shift)</t>
  </si>
  <si>
    <t>Drift detection evidence capture + alert validation</t>
  </si>
  <si>
    <t>Retraining / re-indexing trigger + MLflow model comparison</t>
  </si>
  <si>
    <t>Promote better version + redeploy via CI/CD + evidence log</t>
  </si>
  <si>
    <t>Model card + governance / limitations report</t>
  </si>
  <si>
    <t>Final report compilation + rubric traceability matrix</t>
  </si>
  <si>
    <t>Demo rehearsal + live/recorded demonstration</t>
  </si>
  <si>
    <t>Duration and Week are formulas. Week counts 7-day blocks from the project start date of 21/09/2026, which the user specified. Dates are inclusive of both endpoints and include weekends.</t>
  </si>
  <si>
    <t>Weeks</t>
  </si>
  <si>
    <t>Tasks</t>
  </si>
  <si>
    <t>Total Task-Days</t>
  </si>
  <si>
    <t>Weeks 1-4</t>
  </si>
  <si>
    <t>Weeks 5-7</t>
  </si>
  <si>
    <t>Weeks 8-10</t>
  </si>
  <si>
    <t>Total</t>
  </si>
  <si>
    <t>Task-days count calendar days per task and overlap across parallel tasks, so the total exceeds the 70-day project span.</t>
  </si>
  <si>
    <t>Assigned to</t>
  </si>
  <si>
    <t>Shrey, Shreesha</t>
  </si>
  <si>
    <t>Shraddha</t>
  </si>
  <si>
    <t>Shraddha, Shreyank</t>
  </si>
  <si>
    <t>Shreesha</t>
  </si>
  <si>
    <t>Shreyank</t>
  </si>
  <si>
    <t>Shrey</t>
  </si>
  <si>
    <t>ALL</t>
  </si>
  <si>
    <t>Shrey, Shreesha, Shraddha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</si>
</sst>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b/>
      <sz val="12"/>
      <color rgb="FF1F3864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 indent="1"/>
    </xf>
    <xf numFmtId="0" fontId="5" fillId="5" borderId="1" xfId="0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 indent="1"/>
    </xf>
    <xf numFmtId="0" fontId="5" fillId="6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12" customWidth="1"/>
  </cols>
  <sheetData>
    <row r="2" spans="2:2" ht="30" customHeight="1" x14ac:dyDescent="0.3">
      <c r="B2" s="1" t="s">
        <v>0</v>
      </c>
    </row>
    <row r="3" spans="2:2" x14ac:dyDescent="0.3">
      <c r="B3" s="2" t="s">
        <v>1</v>
      </c>
    </row>
    <row r="5" spans="2:2" x14ac:dyDescent="0.3">
      <c r="B5" s="3" t="s">
        <v>2</v>
      </c>
    </row>
    <row r="7" spans="2:2" ht="15.6" x14ac:dyDescent="0.3">
      <c r="B7" s="4" t="s">
        <v>3</v>
      </c>
    </row>
    <row r="8" spans="2:2" ht="90" customHeight="1" x14ac:dyDescent="0.3">
      <c r="B8" s="5" t="s">
        <v>4</v>
      </c>
    </row>
    <row r="10" spans="2:2" ht="15.6" x14ac:dyDescent="0.3">
      <c r="B10" s="4" t="s">
        <v>5</v>
      </c>
    </row>
    <row r="11" spans="2:2" ht="60" customHeight="1" x14ac:dyDescent="0.3">
      <c r="B11" s="5" t="s">
        <v>6</v>
      </c>
    </row>
    <row r="13" spans="2:2" ht="15.6" x14ac:dyDescent="0.3">
      <c r="B13" s="4" t="s">
        <v>7</v>
      </c>
    </row>
    <row r="14" spans="2:2" ht="60" customHeight="1" x14ac:dyDescent="0.3">
      <c r="B14" s="5" t="s">
        <v>8</v>
      </c>
    </row>
    <row r="16" spans="2:2" ht="15.6" x14ac:dyDescent="0.3">
      <c r="B16" s="4" t="s">
        <v>9</v>
      </c>
    </row>
    <row r="17" spans="2:2" ht="45" customHeight="1" x14ac:dyDescent="0.3">
      <c r="B17" s="5" t="s">
        <v>10</v>
      </c>
    </row>
    <row r="19" spans="2:2" ht="15.6" x14ac:dyDescent="0.3">
      <c r="B19" s="4" t="s">
        <v>11</v>
      </c>
    </row>
    <row r="20" spans="2:2" ht="90" customHeight="1" x14ac:dyDescent="0.3">
      <c r="B20" s="6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tabSelected="1" zoomScaleNormal="100" workbookViewId="0">
      <pane ySplit="1" topLeftCell="A21" activePane="bottomLeft" state="frozen"/>
      <selection pane="bottomLeft" activeCell="H33" sqref="H33"/>
    </sheetView>
  </sheetViews>
  <sheetFormatPr defaultColWidth="8.6640625" defaultRowHeight="14.4" x14ac:dyDescent="0.3"/>
  <cols>
    <col min="1" max="1" width="72" customWidth="1"/>
    <col min="2" max="2" width="38" customWidth="1"/>
    <col min="3" max="4" width="14" customWidth="1"/>
    <col min="5" max="5" width="19.5546875" customWidth="1"/>
    <col min="6" max="6" width="9" customWidth="1"/>
    <col min="7" max="7" width="29.77734375" customWidth="1"/>
  </cols>
  <sheetData>
    <row r="1" spans="1:7" ht="24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62</v>
      </c>
    </row>
    <row r="2" spans="1:7" ht="25.5" customHeight="1" x14ac:dyDescent="0.3">
      <c r="A2" s="8" t="s">
        <v>19</v>
      </c>
      <c r="B2" s="9" t="s">
        <v>20</v>
      </c>
      <c r="C2" s="10">
        <v>46286</v>
      </c>
      <c r="D2" s="10">
        <v>46292</v>
      </c>
      <c r="E2" s="11">
        <f t="shared" ref="E2:E32" si="0">D2-C2+1</f>
        <v>7</v>
      </c>
      <c r="F2" s="11" t="str">
        <f t="shared" ref="F2:G32" si="1">"W"&amp;ROUNDUP((C2-DATE(2026,9,21)+1)/7,0)</f>
        <v>W1</v>
      </c>
      <c r="G2" s="11" t="s">
        <v>63</v>
      </c>
    </row>
    <row r="3" spans="1:7" ht="25.5" customHeight="1" x14ac:dyDescent="0.3">
      <c r="A3" s="8" t="s">
        <v>21</v>
      </c>
      <c r="B3" s="9" t="s">
        <v>20</v>
      </c>
      <c r="C3" s="10">
        <v>46286</v>
      </c>
      <c r="D3" s="10">
        <v>46290</v>
      </c>
      <c r="E3" s="11">
        <f t="shared" si="0"/>
        <v>5</v>
      </c>
      <c r="F3" s="11" t="str">
        <f t="shared" si="1"/>
        <v>W1</v>
      </c>
      <c r="G3" s="11" t="s">
        <v>64</v>
      </c>
    </row>
    <row r="4" spans="1:7" ht="25.5" customHeight="1" x14ac:dyDescent="0.3">
      <c r="A4" s="8" t="s">
        <v>22</v>
      </c>
      <c r="B4" s="9" t="s">
        <v>20</v>
      </c>
      <c r="C4" s="10">
        <v>46291</v>
      </c>
      <c r="D4" s="10">
        <v>46299</v>
      </c>
      <c r="E4" s="11">
        <f t="shared" si="0"/>
        <v>9</v>
      </c>
      <c r="F4" s="11" t="str">
        <f t="shared" si="1"/>
        <v>W1</v>
      </c>
      <c r="G4" s="11" t="s">
        <v>65</v>
      </c>
    </row>
    <row r="5" spans="1:7" ht="25.5" customHeight="1" x14ac:dyDescent="0.3">
      <c r="A5" s="8" t="s">
        <v>23</v>
      </c>
      <c r="B5" s="9" t="s">
        <v>20</v>
      </c>
      <c r="C5" s="10">
        <v>46297</v>
      </c>
      <c r="D5" s="10">
        <v>46303</v>
      </c>
      <c r="E5" s="11">
        <f t="shared" si="0"/>
        <v>7</v>
      </c>
      <c r="F5" s="11" t="str">
        <f t="shared" si="1"/>
        <v>W2</v>
      </c>
      <c r="G5" s="32" t="s">
        <v>69</v>
      </c>
    </row>
    <row r="6" spans="1:7" ht="25.5" customHeight="1" x14ac:dyDescent="0.3">
      <c r="A6" s="8" t="s">
        <v>24</v>
      </c>
      <c r="B6" s="9" t="s">
        <v>20</v>
      </c>
      <c r="C6" s="10">
        <v>46300</v>
      </c>
      <c r="D6" s="10">
        <v>46304</v>
      </c>
      <c r="E6" s="11">
        <f t="shared" si="0"/>
        <v>5</v>
      </c>
      <c r="F6" s="11" t="str">
        <f t="shared" si="1"/>
        <v>W3</v>
      </c>
      <c r="G6" s="11" t="s">
        <v>64</v>
      </c>
    </row>
    <row r="7" spans="1:7" ht="25.5" customHeight="1" x14ac:dyDescent="0.3">
      <c r="A7" s="8" t="s">
        <v>25</v>
      </c>
      <c r="B7" s="9" t="s">
        <v>20</v>
      </c>
      <c r="C7" s="10">
        <v>46300</v>
      </c>
      <c r="D7" s="10">
        <v>46303</v>
      </c>
      <c r="E7" s="11">
        <f t="shared" si="0"/>
        <v>4</v>
      </c>
      <c r="F7" s="11" t="str">
        <f t="shared" si="1"/>
        <v>W3</v>
      </c>
      <c r="G7" s="11" t="s">
        <v>66</v>
      </c>
    </row>
    <row r="8" spans="1:7" ht="25.5" customHeight="1" x14ac:dyDescent="0.3">
      <c r="A8" s="8" t="s">
        <v>26</v>
      </c>
      <c r="B8" s="9" t="s">
        <v>20</v>
      </c>
      <c r="C8" s="10">
        <v>46300</v>
      </c>
      <c r="D8" s="10">
        <v>46302</v>
      </c>
      <c r="E8" s="11">
        <f t="shared" si="0"/>
        <v>3</v>
      </c>
      <c r="F8" s="11" t="str">
        <f t="shared" si="1"/>
        <v>W3</v>
      </c>
      <c r="G8" s="11" t="s">
        <v>67</v>
      </c>
    </row>
    <row r="9" spans="1:7" ht="25.5" customHeight="1" x14ac:dyDescent="0.3">
      <c r="A9" s="8" t="s">
        <v>27</v>
      </c>
      <c r="B9" s="9" t="s">
        <v>20</v>
      </c>
      <c r="C9" s="10">
        <v>46303</v>
      </c>
      <c r="D9" s="10">
        <v>46310</v>
      </c>
      <c r="E9" s="11">
        <f t="shared" si="0"/>
        <v>8</v>
      </c>
      <c r="F9" s="11" t="str">
        <f t="shared" si="1"/>
        <v>W3</v>
      </c>
      <c r="G9" s="11" t="s">
        <v>68</v>
      </c>
    </row>
    <row r="10" spans="1:7" ht="25.5" customHeight="1" x14ac:dyDescent="0.3">
      <c r="A10" s="8" t="s">
        <v>28</v>
      </c>
      <c r="B10" s="9" t="s">
        <v>20</v>
      </c>
      <c r="C10" s="10">
        <v>46307</v>
      </c>
      <c r="D10" s="10">
        <v>46311</v>
      </c>
      <c r="E10" s="11">
        <f t="shared" si="0"/>
        <v>5</v>
      </c>
      <c r="F10" s="11" t="str">
        <f t="shared" si="1"/>
        <v>W4</v>
      </c>
      <c r="G10" s="33" t="s">
        <v>68</v>
      </c>
    </row>
    <row r="11" spans="1:7" ht="25.5" customHeight="1" x14ac:dyDescent="0.3">
      <c r="A11" s="8" t="s">
        <v>29</v>
      </c>
      <c r="B11" s="9" t="s">
        <v>20</v>
      </c>
      <c r="C11" s="10">
        <v>46307</v>
      </c>
      <c r="D11" s="10">
        <v>46311</v>
      </c>
      <c r="E11" s="11">
        <f t="shared" si="0"/>
        <v>5</v>
      </c>
      <c r="F11" s="11" t="str">
        <f t="shared" si="1"/>
        <v>W4</v>
      </c>
      <c r="G11" s="33" t="s">
        <v>66</v>
      </c>
    </row>
    <row r="12" spans="1:7" ht="25.5" customHeight="1" x14ac:dyDescent="0.3">
      <c r="A12" s="8" t="s">
        <v>30</v>
      </c>
      <c r="B12" s="9" t="s">
        <v>20</v>
      </c>
      <c r="C12" s="10">
        <v>46308</v>
      </c>
      <c r="D12" s="10">
        <v>46312</v>
      </c>
      <c r="E12" s="11">
        <f t="shared" si="0"/>
        <v>5</v>
      </c>
      <c r="F12" s="11" t="str">
        <f t="shared" si="1"/>
        <v>W4</v>
      </c>
      <c r="G12" s="33" t="s">
        <v>64</v>
      </c>
    </row>
    <row r="13" spans="1:7" ht="25.5" customHeight="1" x14ac:dyDescent="0.3">
      <c r="A13" s="8" t="s">
        <v>31</v>
      </c>
      <c r="B13" s="9" t="s">
        <v>20</v>
      </c>
      <c r="C13" s="10">
        <v>46311</v>
      </c>
      <c r="D13" s="10">
        <v>46313</v>
      </c>
      <c r="E13" s="11">
        <f t="shared" si="0"/>
        <v>3</v>
      </c>
      <c r="F13" s="11" t="str">
        <f t="shared" si="1"/>
        <v>W4</v>
      </c>
      <c r="G13" s="33" t="s">
        <v>67</v>
      </c>
    </row>
    <row r="14" spans="1:7" ht="25.5" customHeight="1" x14ac:dyDescent="0.3">
      <c r="A14" s="12" t="s">
        <v>32</v>
      </c>
      <c r="B14" s="13" t="s">
        <v>33</v>
      </c>
      <c r="C14" s="14">
        <v>46314</v>
      </c>
      <c r="D14" s="14">
        <v>46317</v>
      </c>
      <c r="E14" s="15">
        <f t="shared" si="0"/>
        <v>4</v>
      </c>
      <c r="F14" s="15" t="str">
        <f t="shared" si="1"/>
        <v>W5</v>
      </c>
      <c r="G14" s="34" t="s">
        <v>64</v>
      </c>
    </row>
    <row r="15" spans="1:7" ht="25.5" customHeight="1" x14ac:dyDescent="0.3">
      <c r="A15" s="12" t="s">
        <v>34</v>
      </c>
      <c r="B15" s="13" t="s">
        <v>33</v>
      </c>
      <c r="C15" s="14">
        <v>46314</v>
      </c>
      <c r="D15" s="14">
        <v>46322</v>
      </c>
      <c r="E15" s="15">
        <f t="shared" si="0"/>
        <v>9</v>
      </c>
      <c r="F15" s="15" t="str">
        <f t="shared" si="1"/>
        <v>W5</v>
      </c>
      <c r="G15" s="34" t="s">
        <v>67</v>
      </c>
    </row>
    <row r="16" spans="1:7" ht="25.5" customHeight="1" x14ac:dyDescent="0.3">
      <c r="A16" s="12" t="s">
        <v>35</v>
      </c>
      <c r="B16" s="13" t="s">
        <v>33</v>
      </c>
      <c r="C16" s="14">
        <v>46318</v>
      </c>
      <c r="D16" s="14">
        <v>46325</v>
      </c>
      <c r="E16" s="15">
        <f t="shared" si="0"/>
        <v>8</v>
      </c>
      <c r="F16" s="15" t="str">
        <f t="shared" si="1"/>
        <v>W5</v>
      </c>
      <c r="G16" s="34" t="s">
        <v>63</v>
      </c>
    </row>
    <row r="17" spans="1:7" ht="25.5" customHeight="1" x14ac:dyDescent="0.3">
      <c r="A17" s="12" t="s">
        <v>36</v>
      </c>
      <c r="B17" s="13" t="s">
        <v>33</v>
      </c>
      <c r="C17" s="14">
        <v>46321</v>
      </c>
      <c r="D17" s="14">
        <v>46328</v>
      </c>
      <c r="E17" s="15">
        <f t="shared" si="0"/>
        <v>8</v>
      </c>
      <c r="F17" s="15" t="str">
        <f t="shared" si="1"/>
        <v>W6</v>
      </c>
      <c r="G17" s="34" t="s">
        <v>64</v>
      </c>
    </row>
    <row r="18" spans="1:7" ht="25.5" customHeight="1" x14ac:dyDescent="0.3">
      <c r="A18" s="12" t="s">
        <v>37</v>
      </c>
      <c r="B18" s="13" t="s">
        <v>33</v>
      </c>
      <c r="C18" s="14">
        <v>46323</v>
      </c>
      <c r="D18" s="14">
        <v>46327</v>
      </c>
      <c r="E18" s="15">
        <f t="shared" si="0"/>
        <v>5</v>
      </c>
      <c r="F18" s="15" t="str">
        <f t="shared" si="1"/>
        <v>W6</v>
      </c>
      <c r="G18" s="34" t="s">
        <v>67</v>
      </c>
    </row>
    <row r="19" spans="1:7" ht="25.5" customHeight="1" x14ac:dyDescent="0.3">
      <c r="A19" s="12" t="s">
        <v>38</v>
      </c>
      <c r="B19" s="13" t="s">
        <v>33</v>
      </c>
      <c r="C19" s="14">
        <v>46323</v>
      </c>
      <c r="D19" s="14">
        <v>46329</v>
      </c>
      <c r="E19" s="15">
        <f t="shared" si="0"/>
        <v>7</v>
      </c>
      <c r="F19" s="15" t="str">
        <f t="shared" si="1"/>
        <v>W6</v>
      </c>
      <c r="G19" s="34" t="s">
        <v>63</v>
      </c>
    </row>
    <row r="20" spans="1:7" ht="25.5" customHeight="1" x14ac:dyDescent="0.3">
      <c r="A20" s="12" t="s">
        <v>39</v>
      </c>
      <c r="B20" s="13" t="s">
        <v>33</v>
      </c>
      <c r="C20" s="14">
        <v>46328</v>
      </c>
      <c r="D20" s="14">
        <v>46332</v>
      </c>
      <c r="E20" s="15">
        <f t="shared" si="0"/>
        <v>5</v>
      </c>
      <c r="F20" s="15" t="str">
        <f t="shared" si="1"/>
        <v>W7</v>
      </c>
      <c r="G20" s="34" t="s">
        <v>64</v>
      </c>
    </row>
    <row r="21" spans="1:7" ht="25.5" customHeight="1" x14ac:dyDescent="0.3">
      <c r="A21" s="12" t="s">
        <v>40</v>
      </c>
      <c r="B21" s="13" t="s">
        <v>33</v>
      </c>
      <c r="C21" s="14">
        <v>46331</v>
      </c>
      <c r="D21" s="14">
        <v>46334</v>
      </c>
      <c r="E21" s="15">
        <f t="shared" si="0"/>
        <v>4</v>
      </c>
      <c r="F21" s="15" t="str">
        <f t="shared" si="1"/>
        <v>W7</v>
      </c>
      <c r="G21" s="34" t="s">
        <v>63</v>
      </c>
    </row>
    <row r="22" spans="1:7" ht="25.5" customHeight="1" x14ac:dyDescent="0.3">
      <c r="A22" s="16" t="s">
        <v>41</v>
      </c>
      <c r="B22" s="17" t="s">
        <v>42</v>
      </c>
      <c r="C22" s="18">
        <v>46335</v>
      </c>
      <c r="D22" s="18">
        <v>46338</v>
      </c>
      <c r="E22" s="19">
        <f t="shared" si="0"/>
        <v>4</v>
      </c>
      <c r="F22" s="19" t="str">
        <f t="shared" si="1"/>
        <v>W8</v>
      </c>
      <c r="G22" s="35" t="s">
        <v>68</v>
      </c>
    </row>
    <row r="23" spans="1:7" ht="25.5" customHeight="1" x14ac:dyDescent="0.3">
      <c r="A23" s="16" t="s">
        <v>43</v>
      </c>
      <c r="B23" s="17" t="s">
        <v>42</v>
      </c>
      <c r="C23" s="18">
        <v>46337</v>
      </c>
      <c r="D23" s="18">
        <v>46342</v>
      </c>
      <c r="E23" s="19">
        <f t="shared" si="0"/>
        <v>6</v>
      </c>
      <c r="F23" s="19" t="str">
        <f t="shared" si="1"/>
        <v>W8</v>
      </c>
      <c r="G23" s="35" t="s">
        <v>66</v>
      </c>
    </row>
    <row r="24" spans="1:7" ht="25.5" customHeight="1" x14ac:dyDescent="0.3">
      <c r="A24" s="16" t="s">
        <v>44</v>
      </c>
      <c r="B24" s="17" t="s">
        <v>42</v>
      </c>
      <c r="C24" s="18">
        <v>46339</v>
      </c>
      <c r="D24" s="18">
        <v>46344</v>
      </c>
      <c r="E24" s="19">
        <f t="shared" si="0"/>
        <v>6</v>
      </c>
      <c r="F24" s="19" t="str">
        <f t="shared" si="1"/>
        <v>W8</v>
      </c>
      <c r="G24" s="35" t="s">
        <v>67</v>
      </c>
    </row>
    <row r="25" spans="1:7" ht="25.5" customHeight="1" x14ac:dyDescent="0.3">
      <c r="A25" s="16" t="s">
        <v>45</v>
      </c>
      <c r="B25" s="17" t="s">
        <v>42</v>
      </c>
      <c r="C25" s="18">
        <v>46340</v>
      </c>
      <c r="D25" s="18">
        <v>46344</v>
      </c>
      <c r="E25" s="19">
        <f t="shared" si="0"/>
        <v>5</v>
      </c>
      <c r="F25" s="19" t="str">
        <f t="shared" si="1"/>
        <v>W8</v>
      </c>
      <c r="G25" s="35" t="s">
        <v>64</v>
      </c>
    </row>
    <row r="26" spans="1:7" ht="25.5" customHeight="1" x14ac:dyDescent="0.3">
      <c r="A26" s="16" t="s">
        <v>46</v>
      </c>
      <c r="B26" s="17" t="s">
        <v>42</v>
      </c>
      <c r="C26" s="18">
        <v>46343</v>
      </c>
      <c r="D26" s="18">
        <v>46346</v>
      </c>
      <c r="E26" s="19">
        <f t="shared" si="0"/>
        <v>4</v>
      </c>
      <c r="F26" s="19" t="str">
        <f t="shared" si="1"/>
        <v>W9</v>
      </c>
      <c r="G26" s="35" t="s">
        <v>64</v>
      </c>
    </row>
    <row r="27" spans="1:7" ht="25.5" customHeight="1" x14ac:dyDescent="0.3">
      <c r="A27" s="16" t="s">
        <v>47</v>
      </c>
      <c r="B27" s="17" t="s">
        <v>42</v>
      </c>
      <c r="C27" s="18">
        <v>46345</v>
      </c>
      <c r="D27" s="18">
        <v>46347</v>
      </c>
      <c r="E27" s="19">
        <f t="shared" si="0"/>
        <v>3</v>
      </c>
      <c r="F27" s="19" t="str">
        <f t="shared" si="1"/>
        <v>W9</v>
      </c>
      <c r="G27" s="35" t="s">
        <v>66</v>
      </c>
    </row>
    <row r="28" spans="1:7" ht="25.5" customHeight="1" x14ac:dyDescent="0.3">
      <c r="A28" s="16" t="s">
        <v>48</v>
      </c>
      <c r="B28" s="17" t="s">
        <v>42</v>
      </c>
      <c r="C28" s="18">
        <v>46346</v>
      </c>
      <c r="D28" s="18">
        <v>46350</v>
      </c>
      <c r="E28" s="19">
        <f t="shared" si="0"/>
        <v>5</v>
      </c>
      <c r="F28" s="19" t="str">
        <f t="shared" si="1"/>
        <v>W9</v>
      </c>
      <c r="G28" s="35" t="s">
        <v>68</v>
      </c>
    </row>
    <row r="29" spans="1:7" ht="25.5" customHeight="1" x14ac:dyDescent="0.3">
      <c r="A29" s="16" t="s">
        <v>49</v>
      </c>
      <c r="B29" s="17" t="s">
        <v>42</v>
      </c>
      <c r="C29" s="18">
        <v>46349</v>
      </c>
      <c r="D29" s="18">
        <v>46351</v>
      </c>
      <c r="E29" s="19">
        <f t="shared" si="0"/>
        <v>3</v>
      </c>
      <c r="F29" s="19" t="str">
        <f t="shared" si="1"/>
        <v>W10</v>
      </c>
      <c r="G29" s="35" t="s">
        <v>70</v>
      </c>
    </row>
    <row r="30" spans="1:7" ht="25.5" customHeight="1" x14ac:dyDescent="0.3">
      <c r="A30" s="16" t="s">
        <v>50</v>
      </c>
      <c r="B30" s="17" t="s">
        <v>42</v>
      </c>
      <c r="C30" s="18">
        <v>46344</v>
      </c>
      <c r="D30" s="18">
        <v>46352</v>
      </c>
      <c r="E30" s="19">
        <f t="shared" si="0"/>
        <v>9</v>
      </c>
      <c r="F30" s="19" t="str">
        <f t="shared" si="1"/>
        <v>W9</v>
      </c>
      <c r="G30" s="35" t="s">
        <v>67</v>
      </c>
    </row>
    <row r="31" spans="1:7" ht="25.5" customHeight="1" x14ac:dyDescent="0.3">
      <c r="A31" s="16" t="s">
        <v>51</v>
      </c>
      <c r="B31" s="17" t="s">
        <v>42</v>
      </c>
      <c r="C31" s="18">
        <v>46349</v>
      </c>
      <c r="D31" s="18">
        <v>46353</v>
      </c>
      <c r="E31" s="19">
        <f t="shared" si="0"/>
        <v>5</v>
      </c>
      <c r="F31" s="19" t="str">
        <f t="shared" si="1"/>
        <v>W10</v>
      </c>
      <c r="G31" s="35" t="s">
        <v>67</v>
      </c>
    </row>
    <row r="32" spans="1:7" ht="25.5" customHeight="1" x14ac:dyDescent="0.3">
      <c r="A32" s="16" t="s">
        <v>52</v>
      </c>
      <c r="B32" s="17" t="s">
        <v>42</v>
      </c>
      <c r="C32" s="18">
        <v>46352</v>
      </c>
      <c r="D32" s="18">
        <v>46355</v>
      </c>
      <c r="E32" s="19">
        <f t="shared" si="0"/>
        <v>4</v>
      </c>
      <c r="F32" s="19" t="str">
        <f t="shared" si="1"/>
        <v>W10</v>
      </c>
      <c r="G32" s="36" t="s">
        <v>69</v>
      </c>
    </row>
    <row r="34" spans="1:1" ht="30" customHeight="1" x14ac:dyDescent="0.3">
      <c r="A34" s="20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2" customWidth="1"/>
    <col min="3" max="4" width="14" customWidth="1"/>
    <col min="5" max="5" width="10" customWidth="1"/>
    <col min="6" max="6" width="16" customWidth="1"/>
  </cols>
  <sheetData>
    <row r="1" spans="1:6" ht="24" customHeight="1" x14ac:dyDescent="0.3">
      <c r="A1" s="7" t="s">
        <v>14</v>
      </c>
      <c r="B1" s="7" t="s">
        <v>54</v>
      </c>
      <c r="C1" s="7" t="s">
        <v>15</v>
      </c>
      <c r="D1" s="7" t="s">
        <v>16</v>
      </c>
      <c r="E1" s="7" t="s">
        <v>55</v>
      </c>
      <c r="F1" s="7" t="s">
        <v>56</v>
      </c>
    </row>
    <row r="2" spans="1:6" ht="25.5" customHeight="1" x14ac:dyDescent="0.3">
      <c r="A2" s="21" t="s">
        <v>20</v>
      </c>
      <c r="B2" s="22" t="s">
        <v>57</v>
      </c>
      <c r="C2" s="23">
        <v>46286</v>
      </c>
      <c r="D2" s="23">
        <v>46313</v>
      </c>
      <c r="E2" s="22">
        <f>COUNTIF(Timeline!$B$2:$B$32,A2)</f>
        <v>12</v>
      </c>
      <c r="F2" s="22">
        <f>SUMIF(Timeline!$B$2:$B$32,A2,Timeline!$E$2:$E$32)</f>
        <v>66</v>
      </c>
    </row>
    <row r="3" spans="1:6" ht="25.5" customHeight="1" x14ac:dyDescent="0.3">
      <c r="A3" s="24" t="s">
        <v>33</v>
      </c>
      <c r="B3" s="25" t="s">
        <v>58</v>
      </c>
      <c r="C3" s="26">
        <v>46314</v>
      </c>
      <c r="D3" s="26">
        <v>46334</v>
      </c>
      <c r="E3" s="25">
        <f>COUNTIF(Timeline!$B$2:$B$32,A3)</f>
        <v>8</v>
      </c>
      <c r="F3" s="25">
        <f>SUMIF(Timeline!$B$2:$B$32,A3,Timeline!$E$2:$E$32)</f>
        <v>50</v>
      </c>
    </row>
    <row r="4" spans="1:6" ht="25.5" customHeight="1" x14ac:dyDescent="0.3">
      <c r="A4" s="27" t="s">
        <v>42</v>
      </c>
      <c r="B4" s="28" t="s">
        <v>59</v>
      </c>
      <c r="C4" s="29">
        <v>46335</v>
      </c>
      <c r="D4" s="29">
        <v>46355</v>
      </c>
      <c r="E4" s="28">
        <f>COUNTIF(Timeline!$B$2:$B$32,A4)</f>
        <v>11</v>
      </c>
      <c r="F4" s="28">
        <f>SUMIF(Timeline!$B$2:$B$32,A4,Timeline!$E$2:$E$32)</f>
        <v>54</v>
      </c>
    </row>
    <row r="5" spans="1:6" x14ac:dyDescent="0.3">
      <c r="A5" s="30" t="s">
        <v>60</v>
      </c>
      <c r="E5" s="31">
        <f>SUM(E2:E4)</f>
        <v>31</v>
      </c>
      <c r="F5" s="31">
        <f>SUM(F2:F4)</f>
        <v>170</v>
      </c>
    </row>
    <row r="7" spans="1:6" ht="34.200000000000003" x14ac:dyDescent="0.3">
      <c r="A7" s="20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Timeline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 PS</cp:lastModifiedBy>
  <cp:revision>0</cp:revision>
  <dcterms:created xsi:type="dcterms:W3CDTF">2026-09-19T12:45:41Z</dcterms:created>
  <dcterms:modified xsi:type="dcterms:W3CDTF">2026-09-21T15:06:18Z</dcterms:modified>
  <dc:language>en-US</dc:language>
</cp:coreProperties>
</file>